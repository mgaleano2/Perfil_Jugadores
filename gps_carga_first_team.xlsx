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8E55F0-8EA3-4E51-B738-BB1F5F810C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ción del partido" sheetId="1" r:id="rId1"/>
    <sheet name="Datos de jugadores" sheetId="2" r:id="rId2"/>
  </sheets>
  <calcPr calcId="181029"/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W2" i="2"/>
  <c r="X2" i="2" s="1"/>
</calcChain>
</file>

<file path=xl/sharedStrings.xml><?xml version="1.0" encoding="utf-8"?>
<sst xmlns="http://schemas.openxmlformats.org/spreadsheetml/2006/main" count="190" uniqueCount="164">
  <si>
    <t>Campo</t>
  </si>
  <si>
    <t>Valor</t>
  </si>
  <si>
    <t>Fecha del partido</t>
  </si>
  <si>
    <t>2026/03/22</t>
  </si>
  <si>
    <t>ID del partido</t>
  </si>
  <si>
    <t>ACA60EA0-70B7-4B06-A73F-B3BF25D59241</t>
  </si>
  <si>
    <t>Enfrentamiento</t>
  </si>
  <si>
    <t>Xiamen No.2 High School A 0:0 Xiamen No.2 High School B</t>
  </si>
  <si>
    <t>Equipo exportado</t>
  </si>
  <si>
    <t>Xiamen No.2 High School B</t>
  </si>
  <si>
    <t>ID del equipo</t>
  </si>
  <si>
    <t>10549</t>
  </si>
  <si>
    <t>ID</t>
  </si>
  <si>
    <t>Nombre</t>
  </si>
  <si>
    <t>Dorsal</t>
  </si>
  <si>
    <t>F.C. máxima</t>
  </si>
  <si>
    <t>F.C. mínima</t>
  </si>
  <si>
    <t>F.C. promedio</t>
  </si>
  <si>
    <t>Tiempo F.C. 0-50%</t>
  </si>
  <si>
    <t>Tiempo F.C. 50-60%</t>
  </si>
  <si>
    <t>Tiempo F.C. 60-70%</t>
  </si>
  <si>
    <t>Tiempo F.C. 70-80%</t>
  </si>
  <si>
    <t>Tiempo F.C. 80-90%</t>
  </si>
  <si>
    <t>Tiempo F.C. 90-100%</t>
  </si>
  <si>
    <t>% Tiempo F.C. 0-50%</t>
  </si>
  <si>
    <t>% Tiempo F.C. 50-60%</t>
  </si>
  <si>
    <t>% Tiempo F.C. 60-70%</t>
  </si>
  <si>
    <t>% Tiempo F.C. 70-80%</t>
  </si>
  <si>
    <t>% Tiempo F.C. 80-90%</t>
  </si>
  <si>
    <t>% Tiempo F.C. 90-100%</t>
  </si>
  <si>
    <t>Carga deportiva</t>
  </si>
  <si>
    <t>Intensidad deportiva</t>
  </si>
  <si>
    <t>VO2 máx.</t>
  </si>
  <si>
    <t>Gasto energético (kcal)</t>
  </si>
  <si>
    <t>Velocidad máx. carrera (m/s)</t>
  </si>
  <si>
    <t>Velocidad máx. con balón (m/s)</t>
  </si>
  <si>
    <t>Distancia recorrida (m)</t>
  </si>
  <si>
    <t>Distancia por unidad</t>
  </si>
  <si>
    <t>Distancia alta velocidad (m)</t>
  </si>
  <si>
    <t>Distancia sprint (m)</t>
  </si>
  <si>
    <t>Tiempo medio entre sprints</t>
  </si>
  <si>
    <t>Recuperaciones de balón</t>
  </si>
  <si>
    <t>Pases totales</t>
  </si>
  <si>
    <t>Pases exitosos</t>
  </si>
  <si>
    <t>% Pases exitosos</t>
  </si>
  <si>
    <t>Pases hacia adelante</t>
  </si>
  <si>
    <t>Pases adelante exitosos</t>
  </si>
  <si>
    <t>% Pases adelante exitosos</t>
  </si>
  <si>
    <t>% Pases hacia adelante</t>
  </si>
  <si>
    <t>Interceptaciones</t>
  </si>
  <si>
    <t>Giros izq. (bajo|med|alto)</t>
  </si>
  <si>
    <t>Giros der. (bajo|med|alto)</t>
  </si>
  <si>
    <t>Aceleraciones (bajo|med|alto)</t>
  </si>
  <si>
    <t>Desaceleraciones (bajo|med|alto)</t>
  </si>
  <si>
    <t>陈炜权</t>
  </si>
  <si>
    <t>19.4%</t>
  </si>
  <si>
    <t>4.2%</t>
  </si>
  <si>
    <t>15.0%</t>
  </si>
  <si>
    <t>21.3%</t>
  </si>
  <si>
    <t>31.5%</t>
  </si>
  <si>
    <t>8.4%</t>
  </si>
  <si>
    <t>371.2</t>
  </si>
  <si>
    <t>100.0%</t>
  </si>
  <si>
    <t>0</t>
  </si>
  <si>
    <t>12|60|12</t>
  </si>
  <si>
    <t>19|60|19</t>
  </si>
  <si>
    <t>201|163|12</t>
  </si>
  <si>
    <t>184|119|3</t>
  </si>
  <si>
    <t>洪玮</t>
  </si>
  <si>
    <t>0.4%</t>
  </si>
  <si>
    <t>6.6%</t>
  </si>
  <si>
    <t>19.7%</t>
  </si>
  <si>
    <t>28.5%</t>
  </si>
  <si>
    <t>27.1%</t>
  </si>
  <si>
    <t>17.6%</t>
  </si>
  <si>
    <t>242.3</t>
  </si>
  <si>
    <t>50.0%</t>
  </si>
  <si>
    <t>10|30|11</t>
  </si>
  <si>
    <t>17|68|9</t>
  </si>
  <si>
    <t>228|155|11</t>
  </si>
  <si>
    <t>155|125|1</t>
  </si>
  <si>
    <t>潘明轩</t>
  </si>
  <si>
    <t>2.8%</t>
  </si>
  <si>
    <t>22.2%</t>
  </si>
  <si>
    <t>27.6%</t>
  </si>
  <si>
    <t>36.0%</t>
  </si>
  <si>
    <t>11.3%</t>
  </si>
  <si>
    <t>-</t>
  </si>
  <si>
    <t>25.0%</t>
  </si>
  <si>
    <t>15|31|7</t>
  </si>
  <si>
    <t>5|26|3</t>
  </si>
  <si>
    <t>119|156|10</t>
  </si>
  <si>
    <t>97|98|7</t>
  </si>
  <si>
    <t>潘志毅</t>
  </si>
  <si>
    <t>12.5%</t>
  </si>
  <si>
    <t>36.8%</t>
  </si>
  <si>
    <t>45.2%</t>
  </si>
  <si>
    <t>5.5%</t>
  </si>
  <si>
    <t>241.9</t>
  </si>
  <si>
    <t>8|37|12</t>
  </si>
  <si>
    <t>7|46|7</t>
  </si>
  <si>
    <t>208|170|5</t>
  </si>
  <si>
    <t>165|116|8</t>
  </si>
  <si>
    <t>彭俊文</t>
  </si>
  <si>
    <t>1.6%</t>
  </si>
  <si>
    <t>23.4%</t>
  </si>
  <si>
    <t>20.1%</t>
  </si>
  <si>
    <t>15.5%</t>
  </si>
  <si>
    <t>26.9%</t>
  </si>
  <si>
    <t>12.4%</t>
  </si>
  <si>
    <t>239.9</t>
  </si>
  <si>
    <t>11|66|19</t>
  </si>
  <si>
    <t>18|60|20</t>
  </si>
  <si>
    <t>267|201|10</t>
  </si>
  <si>
    <t>223|137|4</t>
  </si>
  <si>
    <t>姚锦程</t>
  </si>
  <si>
    <t>5.6%</t>
  </si>
  <si>
    <t>27.5%</t>
  </si>
  <si>
    <t>26.2%</t>
  </si>
  <si>
    <t>38.3%</t>
  </si>
  <si>
    <t>2.4%</t>
  </si>
  <si>
    <t>224.9</t>
  </si>
  <si>
    <t>33.3%</t>
  </si>
  <si>
    <t>9|36|8</t>
  </si>
  <si>
    <t>11|66|12</t>
  </si>
  <si>
    <t>205|189|6</t>
  </si>
  <si>
    <t>194|141|4</t>
  </si>
  <si>
    <t>叶茂权</t>
  </si>
  <si>
    <t>3.9%</t>
  </si>
  <si>
    <t>9.5%</t>
  </si>
  <si>
    <t>17.3%</t>
  </si>
  <si>
    <t>20.5%</t>
  </si>
  <si>
    <t>23.9%</t>
  </si>
  <si>
    <t>0.5%</t>
  </si>
  <si>
    <t>290.7</t>
  </si>
  <si>
    <t>66.7%</t>
  </si>
  <si>
    <t>6|59|15</t>
  </si>
  <si>
    <t>14|62|21</t>
  </si>
  <si>
    <t>181|181|14</t>
  </si>
  <si>
    <t>176|115|8</t>
  </si>
  <si>
    <t>张栗源</t>
  </si>
  <si>
    <t>3.7%</t>
  </si>
  <si>
    <t>12.9%</t>
  </si>
  <si>
    <t>33.9%</t>
  </si>
  <si>
    <t>18.9%</t>
  </si>
  <si>
    <t>29.1%</t>
  </si>
  <si>
    <t>1.5%</t>
  </si>
  <si>
    <t>300.6</t>
  </si>
  <si>
    <t>24|67|24</t>
  </si>
  <si>
    <t>25|76|13</t>
  </si>
  <si>
    <t>176|153|10</t>
  </si>
  <si>
    <t>168|82|8</t>
  </si>
  <si>
    <t>张哲铭</t>
  </si>
  <si>
    <t>1.3%</t>
  </si>
  <si>
    <t>13.6%</t>
  </si>
  <si>
    <t>21.5%</t>
  </si>
  <si>
    <t>13.3%</t>
  </si>
  <si>
    <t>191.3</t>
  </si>
  <si>
    <t>20.0%</t>
  </si>
  <si>
    <t>17|57|15</t>
  </si>
  <si>
    <t>5|36|12</t>
  </si>
  <si>
    <t>244|190|12</t>
  </si>
  <si>
    <t>230|120|6</t>
  </si>
  <si>
    <t>Velocidad máx. carrera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</si>
</sst>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4.5" x14ac:dyDescent="0.35"/>
  <cols>
    <col min="1" max="1" width="30" customWidth="1"/>
    <col min="2" max="2" width="5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"/>
  <sheetViews>
    <sheetView topLeftCell="Y1" workbookViewId="0">
      <selection activeCell="Y9" sqref="Y9"/>
    </sheetView>
  </sheetViews>
  <sheetFormatPr defaultRowHeight="14.5" x14ac:dyDescent="0.35"/>
  <cols>
    <col min="1" max="3" width="12" customWidth="1"/>
    <col min="4" max="5" width="13" customWidth="1"/>
    <col min="6" max="6" width="15" customWidth="1"/>
    <col min="7" max="7" width="19" customWidth="1"/>
    <col min="8" max="11" width="20" customWidth="1"/>
    <col min="12" max="13" width="21" customWidth="1"/>
    <col min="14" max="17" width="22" customWidth="1"/>
    <col min="18" max="18" width="23" customWidth="1"/>
    <col min="19" max="19" width="17" customWidth="1"/>
    <col min="20" max="20" width="22" customWidth="1"/>
    <col min="21" max="21" width="12" customWidth="1"/>
    <col min="22" max="22" width="25" customWidth="1"/>
    <col min="23" max="24" width="30" customWidth="1"/>
    <col min="25" max="25" width="32" customWidth="1"/>
    <col min="26" max="26" width="25" customWidth="1"/>
    <col min="27" max="27" width="22" customWidth="1"/>
    <col min="28" max="28" width="30" customWidth="1"/>
    <col min="29" max="29" width="22" customWidth="1"/>
    <col min="30" max="30" width="28" customWidth="1"/>
    <col min="31" max="31" width="25" customWidth="1"/>
    <col min="32" max="32" width="15" customWidth="1"/>
    <col min="33" max="33" width="16" customWidth="1"/>
    <col min="34" max="34" width="18" customWidth="1"/>
    <col min="35" max="35" width="22" customWidth="1"/>
    <col min="36" max="36" width="25" customWidth="1"/>
    <col min="37" max="37" width="27" customWidth="1"/>
    <col min="38" max="38" width="24" customWidth="1"/>
    <col min="39" max="39" width="18" customWidth="1"/>
    <col min="40" max="41" width="28" customWidth="1"/>
    <col min="42" max="42" width="31" customWidth="1"/>
    <col min="43" max="43" width="34" customWidth="1"/>
  </cols>
  <sheetData>
    <row r="1" spans="1:43" ht="35" customHeigh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163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</row>
    <row r="2" spans="1:43" x14ac:dyDescent="0.35">
      <c r="A2" s="4">
        <v>247597</v>
      </c>
      <c r="B2" s="4" t="s">
        <v>54</v>
      </c>
      <c r="C2" s="4">
        <v>10</v>
      </c>
      <c r="D2" s="4">
        <v>196</v>
      </c>
      <c r="E2" s="4">
        <v>70</v>
      </c>
      <c r="F2" s="4">
        <v>144</v>
      </c>
      <c r="G2" s="4">
        <v>1085</v>
      </c>
      <c r="H2" s="4">
        <v>236</v>
      </c>
      <c r="I2" s="4">
        <v>839</v>
      </c>
      <c r="J2" s="4">
        <v>1194</v>
      </c>
      <c r="K2" s="4">
        <v>1764</v>
      </c>
      <c r="L2" s="4">
        <v>472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>
        <v>137.6</v>
      </c>
      <c r="T2" s="4">
        <v>1.5</v>
      </c>
      <c r="U2" s="4">
        <v>38.1</v>
      </c>
      <c r="V2" s="4">
        <v>858</v>
      </c>
      <c r="W2" s="4">
        <f>6.9</f>
        <v>6.9</v>
      </c>
      <c r="X2" s="4">
        <f>W2*3.6</f>
        <v>24.840000000000003</v>
      </c>
      <c r="Y2" s="4">
        <v>2.2000000000000002</v>
      </c>
      <c r="Z2" s="4">
        <v>5322.4</v>
      </c>
      <c r="AA2" s="4">
        <v>57.1</v>
      </c>
      <c r="AB2" s="4">
        <v>127.3</v>
      </c>
      <c r="AC2" s="4">
        <v>0</v>
      </c>
      <c r="AD2" s="4" t="s">
        <v>61</v>
      </c>
      <c r="AE2" s="4">
        <v>1</v>
      </c>
      <c r="AF2" s="4">
        <v>1</v>
      </c>
      <c r="AG2" s="4">
        <v>1</v>
      </c>
      <c r="AH2" s="4" t="s">
        <v>62</v>
      </c>
      <c r="AI2" s="4">
        <v>0</v>
      </c>
      <c r="AJ2" s="4">
        <v>0</v>
      </c>
      <c r="AK2" s="4" t="s">
        <v>63</v>
      </c>
      <c r="AL2" s="4" t="s">
        <v>63</v>
      </c>
      <c r="AM2" s="4">
        <v>0</v>
      </c>
      <c r="AN2" s="4" t="s">
        <v>64</v>
      </c>
      <c r="AO2" s="4" t="s">
        <v>65</v>
      </c>
      <c r="AP2" s="4" t="s">
        <v>66</v>
      </c>
      <c r="AQ2" s="4" t="s">
        <v>67</v>
      </c>
    </row>
    <row r="3" spans="1:43" x14ac:dyDescent="0.35">
      <c r="A3" s="5">
        <v>247658</v>
      </c>
      <c r="B3" s="5" t="s">
        <v>68</v>
      </c>
      <c r="C3" s="5">
        <v>15</v>
      </c>
      <c r="D3" s="5">
        <v>195</v>
      </c>
      <c r="E3" s="5">
        <v>93</v>
      </c>
      <c r="F3" s="5">
        <v>160</v>
      </c>
      <c r="G3" s="5">
        <v>24</v>
      </c>
      <c r="H3" s="5">
        <v>370</v>
      </c>
      <c r="I3" s="5">
        <v>1102</v>
      </c>
      <c r="J3" s="5">
        <v>1595</v>
      </c>
      <c r="K3" s="5">
        <v>1516</v>
      </c>
      <c r="L3" s="5">
        <v>983</v>
      </c>
      <c r="M3" s="5" t="s">
        <v>69</v>
      </c>
      <c r="N3" s="5" t="s">
        <v>70</v>
      </c>
      <c r="O3" s="5" t="s">
        <v>71</v>
      </c>
      <c r="P3" s="5" t="s">
        <v>72</v>
      </c>
      <c r="Q3" s="5" t="s">
        <v>73</v>
      </c>
      <c r="R3" s="5" t="s">
        <v>74</v>
      </c>
      <c r="S3" s="5">
        <v>171.7</v>
      </c>
      <c r="T3" s="5">
        <v>1.8</v>
      </c>
      <c r="U3" s="5">
        <v>41.3</v>
      </c>
      <c r="V3" s="5">
        <v>1164</v>
      </c>
      <c r="W3" s="5">
        <v>7.2</v>
      </c>
      <c r="X3" s="4">
        <f t="shared" ref="X3:X10" si="0">W3*3.6</f>
        <v>25.92</v>
      </c>
      <c r="Y3" s="5">
        <v>1.1000000000000001</v>
      </c>
      <c r="Z3" s="5">
        <v>5289.5</v>
      </c>
      <c r="AA3" s="5">
        <v>56.7</v>
      </c>
      <c r="AB3" s="5">
        <v>191.5</v>
      </c>
      <c r="AC3" s="5">
        <v>28.2</v>
      </c>
      <c r="AD3" s="5" t="s">
        <v>75</v>
      </c>
      <c r="AE3" s="5">
        <v>3</v>
      </c>
      <c r="AF3" s="5">
        <v>2</v>
      </c>
      <c r="AG3" s="5">
        <v>2</v>
      </c>
      <c r="AH3" s="5" t="s">
        <v>62</v>
      </c>
      <c r="AI3" s="5">
        <v>1</v>
      </c>
      <c r="AJ3" s="5">
        <v>1</v>
      </c>
      <c r="AK3" s="5" t="s">
        <v>62</v>
      </c>
      <c r="AL3" s="5" t="s">
        <v>76</v>
      </c>
      <c r="AM3" s="5">
        <v>1</v>
      </c>
      <c r="AN3" s="5" t="s">
        <v>77</v>
      </c>
      <c r="AO3" s="5" t="s">
        <v>78</v>
      </c>
      <c r="AP3" s="5" t="s">
        <v>79</v>
      </c>
      <c r="AQ3" s="5" t="s">
        <v>80</v>
      </c>
    </row>
    <row r="4" spans="1:43" x14ac:dyDescent="0.35">
      <c r="A4" s="4">
        <v>247588</v>
      </c>
      <c r="B4" s="4" t="s">
        <v>81</v>
      </c>
      <c r="C4" s="4">
        <v>1</v>
      </c>
      <c r="D4" s="4">
        <v>184</v>
      </c>
      <c r="E4" s="4">
        <v>69</v>
      </c>
      <c r="F4" s="4">
        <v>141</v>
      </c>
      <c r="G4" s="4">
        <v>158</v>
      </c>
      <c r="H4" s="4">
        <v>1244</v>
      </c>
      <c r="I4" s="4">
        <v>1542</v>
      </c>
      <c r="J4" s="4">
        <v>2016</v>
      </c>
      <c r="K4" s="4">
        <v>631</v>
      </c>
      <c r="L4" s="4">
        <v>0</v>
      </c>
      <c r="M4" s="4" t="s">
        <v>82</v>
      </c>
      <c r="N4" s="4" t="s">
        <v>83</v>
      </c>
      <c r="O4" s="4" t="s">
        <v>84</v>
      </c>
      <c r="P4" s="4" t="s">
        <v>85</v>
      </c>
      <c r="Q4" s="4" t="s">
        <v>86</v>
      </c>
      <c r="R4" s="4" t="s">
        <v>63</v>
      </c>
      <c r="S4" s="4">
        <v>80.400000000000006</v>
      </c>
      <c r="T4" s="4">
        <v>0.9</v>
      </c>
      <c r="U4" s="4">
        <v>38</v>
      </c>
      <c r="V4" s="4">
        <v>894</v>
      </c>
      <c r="W4" s="4">
        <v>5.5</v>
      </c>
      <c r="X4" s="4">
        <f t="shared" si="0"/>
        <v>19.8</v>
      </c>
      <c r="Y4" s="4">
        <v>2.4</v>
      </c>
      <c r="Z4" s="4">
        <v>2630.5</v>
      </c>
      <c r="AA4" s="4">
        <v>28.2</v>
      </c>
      <c r="AB4" s="4">
        <v>0</v>
      </c>
      <c r="AC4" s="4">
        <v>0</v>
      </c>
      <c r="AD4" s="4" t="s">
        <v>87</v>
      </c>
      <c r="AE4" s="4">
        <v>4</v>
      </c>
      <c r="AF4" s="4">
        <v>4</v>
      </c>
      <c r="AG4" s="4">
        <v>1</v>
      </c>
      <c r="AH4" s="4" t="s">
        <v>88</v>
      </c>
      <c r="AI4" s="4">
        <v>0</v>
      </c>
      <c r="AJ4" s="4">
        <v>0</v>
      </c>
      <c r="AK4" s="4" t="s">
        <v>63</v>
      </c>
      <c r="AL4" s="4" t="s">
        <v>63</v>
      </c>
      <c r="AM4" s="4">
        <v>1</v>
      </c>
      <c r="AN4" s="4" t="s">
        <v>89</v>
      </c>
      <c r="AO4" s="4" t="s">
        <v>90</v>
      </c>
      <c r="AP4" s="4" t="s">
        <v>91</v>
      </c>
      <c r="AQ4" s="4" t="s">
        <v>92</v>
      </c>
    </row>
    <row r="5" spans="1:43" x14ac:dyDescent="0.35">
      <c r="A5" s="5">
        <v>247598</v>
      </c>
      <c r="B5" s="5" t="s">
        <v>93</v>
      </c>
      <c r="C5" s="5">
        <v>11</v>
      </c>
      <c r="D5" s="5">
        <v>196</v>
      </c>
      <c r="E5" s="5">
        <v>124</v>
      </c>
      <c r="F5" s="5">
        <v>163</v>
      </c>
      <c r="G5" s="5">
        <v>0</v>
      </c>
      <c r="H5" s="5">
        <v>0</v>
      </c>
      <c r="I5" s="5">
        <v>698</v>
      </c>
      <c r="J5" s="5">
        <v>2058</v>
      </c>
      <c r="K5" s="5">
        <v>2530</v>
      </c>
      <c r="L5" s="5">
        <v>305</v>
      </c>
      <c r="M5" s="5" t="s">
        <v>63</v>
      </c>
      <c r="N5" s="5" t="s">
        <v>63</v>
      </c>
      <c r="O5" s="5" t="s">
        <v>94</v>
      </c>
      <c r="P5" s="5" t="s">
        <v>95</v>
      </c>
      <c r="Q5" s="5" t="s">
        <v>96</v>
      </c>
      <c r="R5" s="5" t="s">
        <v>97</v>
      </c>
      <c r="S5" s="5">
        <v>168.3</v>
      </c>
      <c r="T5" s="5">
        <v>1.8</v>
      </c>
      <c r="U5" s="5">
        <v>41.3</v>
      </c>
      <c r="V5" s="5">
        <v>1195</v>
      </c>
      <c r="W5" s="5">
        <v>7.6</v>
      </c>
      <c r="X5" s="4">
        <f t="shared" si="0"/>
        <v>27.36</v>
      </c>
      <c r="Y5" s="5">
        <v>6.2</v>
      </c>
      <c r="Z5" s="5">
        <v>4296</v>
      </c>
      <c r="AA5" s="5">
        <v>46.1</v>
      </c>
      <c r="AB5" s="5">
        <v>109.4</v>
      </c>
      <c r="AC5" s="5">
        <v>51.7</v>
      </c>
      <c r="AD5" s="5" t="s">
        <v>98</v>
      </c>
      <c r="AE5" s="5">
        <v>2</v>
      </c>
      <c r="AF5" s="5">
        <v>2</v>
      </c>
      <c r="AG5" s="5">
        <v>1</v>
      </c>
      <c r="AH5" s="5" t="s">
        <v>76</v>
      </c>
      <c r="AI5" s="5">
        <v>1</v>
      </c>
      <c r="AJ5" s="5">
        <v>1</v>
      </c>
      <c r="AK5" s="5" t="s">
        <v>62</v>
      </c>
      <c r="AL5" s="5" t="s">
        <v>76</v>
      </c>
      <c r="AM5" s="5">
        <v>1</v>
      </c>
      <c r="AN5" s="5" t="s">
        <v>99</v>
      </c>
      <c r="AO5" s="5" t="s">
        <v>100</v>
      </c>
      <c r="AP5" s="5" t="s">
        <v>101</v>
      </c>
      <c r="AQ5" s="5" t="s">
        <v>102</v>
      </c>
    </row>
    <row r="6" spans="1:43" x14ac:dyDescent="0.35">
      <c r="A6" s="4">
        <v>247595</v>
      </c>
      <c r="B6" s="4" t="s">
        <v>103</v>
      </c>
      <c r="C6" s="4">
        <v>8</v>
      </c>
      <c r="D6" s="4">
        <v>199</v>
      </c>
      <c r="E6" s="4">
        <v>92</v>
      </c>
      <c r="F6" s="4">
        <v>149</v>
      </c>
      <c r="G6" s="4">
        <v>90</v>
      </c>
      <c r="H6" s="4">
        <v>1308</v>
      </c>
      <c r="I6" s="4">
        <v>1125</v>
      </c>
      <c r="J6" s="4">
        <v>868</v>
      </c>
      <c r="K6" s="4">
        <v>1502</v>
      </c>
      <c r="L6" s="4">
        <v>696</v>
      </c>
      <c r="M6" s="4" t="s">
        <v>104</v>
      </c>
      <c r="N6" s="4" t="s">
        <v>105</v>
      </c>
      <c r="O6" s="4" t="s">
        <v>106</v>
      </c>
      <c r="P6" s="4" t="s">
        <v>107</v>
      </c>
      <c r="Q6" s="4" t="s">
        <v>108</v>
      </c>
      <c r="R6" s="4" t="s">
        <v>109</v>
      </c>
      <c r="S6" s="4">
        <v>142.19999999999999</v>
      </c>
      <c r="T6" s="4">
        <v>1.5</v>
      </c>
      <c r="U6" s="4">
        <v>42.5</v>
      </c>
      <c r="V6" s="4">
        <v>1048</v>
      </c>
      <c r="W6" s="4">
        <v>6.6</v>
      </c>
      <c r="X6" s="4">
        <f t="shared" si="0"/>
        <v>23.759999999999998</v>
      </c>
      <c r="Y6" s="4">
        <v>0</v>
      </c>
      <c r="Z6" s="4">
        <v>5445.7</v>
      </c>
      <c r="AA6" s="4">
        <v>58.4</v>
      </c>
      <c r="AB6" s="4">
        <v>134.1</v>
      </c>
      <c r="AC6" s="4">
        <v>0</v>
      </c>
      <c r="AD6" s="4" t="s">
        <v>110</v>
      </c>
      <c r="AE6" s="4">
        <v>2</v>
      </c>
      <c r="AF6" s="4">
        <v>2</v>
      </c>
      <c r="AG6" s="4">
        <v>1</v>
      </c>
      <c r="AH6" s="4" t="s">
        <v>76</v>
      </c>
      <c r="AI6" s="4">
        <v>1</v>
      </c>
      <c r="AJ6" s="4">
        <v>1</v>
      </c>
      <c r="AK6" s="4" t="s">
        <v>62</v>
      </c>
      <c r="AL6" s="4" t="s">
        <v>76</v>
      </c>
      <c r="AM6" s="4">
        <v>1</v>
      </c>
      <c r="AN6" s="4" t="s">
        <v>111</v>
      </c>
      <c r="AO6" s="4" t="s">
        <v>112</v>
      </c>
      <c r="AP6" s="4" t="s">
        <v>113</v>
      </c>
      <c r="AQ6" s="4" t="s">
        <v>114</v>
      </c>
    </row>
    <row r="7" spans="1:43" x14ac:dyDescent="0.35">
      <c r="A7" s="5">
        <v>247594</v>
      </c>
      <c r="B7" s="5" t="s">
        <v>115</v>
      </c>
      <c r="C7" s="5">
        <v>7</v>
      </c>
      <c r="D7" s="5">
        <v>192</v>
      </c>
      <c r="E7" s="5">
        <v>106</v>
      </c>
      <c r="F7" s="5">
        <v>156</v>
      </c>
      <c r="G7" s="5">
        <v>0</v>
      </c>
      <c r="H7" s="5">
        <v>312</v>
      </c>
      <c r="I7" s="5">
        <v>1539</v>
      </c>
      <c r="J7" s="5">
        <v>1465</v>
      </c>
      <c r="K7" s="5">
        <v>2144</v>
      </c>
      <c r="L7" s="5">
        <v>132</v>
      </c>
      <c r="M7" s="5" t="s">
        <v>63</v>
      </c>
      <c r="N7" s="5" t="s">
        <v>116</v>
      </c>
      <c r="O7" s="5" t="s">
        <v>117</v>
      </c>
      <c r="P7" s="5" t="s">
        <v>118</v>
      </c>
      <c r="Q7" s="5" t="s">
        <v>119</v>
      </c>
      <c r="R7" s="5" t="s">
        <v>120</v>
      </c>
      <c r="S7" s="5">
        <v>141.5</v>
      </c>
      <c r="T7" s="5">
        <v>1.5</v>
      </c>
      <c r="U7" s="5">
        <v>40</v>
      </c>
      <c r="V7" s="5">
        <v>1115</v>
      </c>
      <c r="W7" s="5">
        <v>7.5</v>
      </c>
      <c r="X7" s="4">
        <f t="shared" si="0"/>
        <v>27</v>
      </c>
      <c r="Y7" s="5">
        <v>6.1</v>
      </c>
      <c r="Z7" s="5">
        <v>4761.3</v>
      </c>
      <c r="AA7" s="5">
        <v>51.1</v>
      </c>
      <c r="AB7" s="5">
        <v>184.6</v>
      </c>
      <c r="AC7" s="5">
        <v>61</v>
      </c>
      <c r="AD7" s="5" t="s">
        <v>121</v>
      </c>
      <c r="AE7" s="5">
        <v>5</v>
      </c>
      <c r="AF7" s="5">
        <v>3</v>
      </c>
      <c r="AG7" s="5">
        <v>1</v>
      </c>
      <c r="AH7" s="5" t="s">
        <v>122</v>
      </c>
      <c r="AI7" s="5">
        <v>0</v>
      </c>
      <c r="AJ7" s="5">
        <v>0</v>
      </c>
      <c r="AK7" s="5" t="s">
        <v>63</v>
      </c>
      <c r="AL7" s="5" t="s">
        <v>63</v>
      </c>
      <c r="AM7" s="5">
        <v>1</v>
      </c>
      <c r="AN7" s="5" t="s">
        <v>123</v>
      </c>
      <c r="AO7" s="5" t="s">
        <v>124</v>
      </c>
      <c r="AP7" s="5" t="s">
        <v>125</v>
      </c>
      <c r="AQ7" s="5" t="s">
        <v>126</v>
      </c>
    </row>
    <row r="8" spans="1:43" x14ac:dyDescent="0.35">
      <c r="A8" s="4">
        <v>247591</v>
      </c>
      <c r="B8" s="4" t="s">
        <v>127</v>
      </c>
      <c r="C8" s="4">
        <v>4</v>
      </c>
      <c r="D8" s="4">
        <v>187</v>
      </c>
      <c r="E8" s="4">
        <v>71</v>
      </c>
      <c r="F8" s="4">
        <v>147</v>
      </c>
      <c r="G8" s="4">
        <v>220</v>
      </c>
      <c r="H8" s="4">
        <v>531</v>
      </c>
      <c r="I8" s="4">
        <v>968</v>
      </c>
      <c r="J8" s="4">
        <v>1145</v>
      </c>
      <c r="K8" s="4">
        <v>1334</v>
      </c>
      <c r="L8" s="4">
        <v>28</v>
      </c>
      <c r="M8" s="4" t="s">
        <v>128</v>
      </c>
      <c r="N8" s="4" t="s">
        <v>129</v>
      </c>
      <c r="O8" s="4" t="s">
        <v>130</v>
      </c>
      <c r="P8" s="4" t="s">
        <v>131</v>
      </c>
      <c r="Q8" s="4" t="s">
        <v>132</v>
      </c>
      <c r="R8" s="4" t="s">
        <v>133</v>
      </c>
      <c r="S8" s="4">
        <v>84.8</v>
      </c>
      <c r="T8" s="4">
        <v>0.9</v>
      </c>
      <c r="U8" s="4">
        <v>38.6</v>
      </c>
      <c r="V8" s="4">
        <v>770</v>
      </c>
      <c r="W8" s="4">
        <v>6.7</v>
      </c>
      <c r="X8" s="4">
        <f t="shared" si="0"/>
        <v>24.12</v>
      </c>
      <c r="Y8" s="4">
        <v>0</v>
      </c>
      <c r="Z8" s="4">
        <v>5012.6000000000004</v>
      </c>
      <c r="AA8" s="4">
        <v>53.8</v>
      </c>
      <c r="AB8" s="4">
        <v>164.6</v>
      </c>
      <c r="AC8" s="4">
        <v>0</v>
      </c>
      <c r="AD8" s="4" t="s">
        <v>134</v>
      </c>
      <c r="AE8" s="4">
        <v>3</v>
      </c>
      <c r="AF8" s="4">
        <v>3</v>
      </c>
      <c r="AG8" s="4">
        <v>2</v>
      </c>
      <c r="AH8" s="4" t="s">
        <v>135</v>
      </c>
      <c r="AI8" s="4">
        <v>2</v>
      </c>
      <c r="AJ8" s="4">
        <v>1</v>
      </c>
      <c r="AK8" s="4" t="s">
        <v>76</v>
      </c>
      <c r="AL8" s="4" t="s">
        <v>135</v>
      </c>
      <c r="AM8" s="4">
        <v>0</v>
      </c>
      <c r="AN8" s="4" t="s">
        <v>136</v>
      </c>
      <c r="AO8" s="4" t="s">
        <v>137</v>
      </c>
      <c r="AP8" s="4" t="s">
        <v>138</v>
      </c>
      <c r="AQ8" s="4" t="s">
        <v>139</v>
      </c>
    </row>
    <row r="9" spans="1:43" x14ac:dyDescent="0.35">
      <c r="A9" s="5">
        <v>247589</v>
      </c>
      <c r="B9" s="5" t="s">
        <v>140</v>
      </c>
      <c r="C9" s="5">
        <v>2</v>
      </c>
      <c r="D9" s="5">
        <v>189</v>
      </c>
      <c r="E9" s="5">
        <v>85</v>
      </c>
      <c r="F9" s="5">
        <v>146</v>
      </c>
      <c r="G9" s="5">
        <v>205</v>
      </c>
      <c r="H9" s="5">
        <v>720</v>
      </c>
      <c r="I9" s="5">
        <v>1896</v>
      </c>
      <c r="J9" s="5">
        <v>1055</v>
      </c>
      <c r="K9" s="5">
        <v>1630</v>
      </c>
      <c r="L9" s="5">
        <v>85</v>
      </c>
      <c r="M9" s="5" t="s">
        <v>141</v>
      </c>
      <c r="N9" s="5" t="s">
        <v>142</v>
      </c>
      <c r="O9" s="5" t="s">
        <v>143</v>
      </c>
      <c r="P9" s="5" t="s">
        <v>144</v>
      </c>
      <c r="Q9" s="5" t="s">
        <v>145</v>
      </c>
      <c r="R9" s="5" t="s">
        <v>146</v>
      </c>
      <c r="S9" s="5">
        <v>109.3</v>
      </c>
      <c r="T9" s="5">
        <v>1.2</v>
      </c>
      <c r="U9" s="5">
        <v>36.1</v>
      </c>
      <c r="V9" s="5">
        <v>902</v>
      </c>
      <c r="W9" s="5">
        <v>7.5</v>
      </c>
      <c r="X9" s="4">
        <f t="shared" si="0"/>
        <v>27</v>
      </c>
      <c r="Y9" s="5">
        <v>1.4</v>
      </c>
      <c r="Z9" s="5">
        <v>5134.7</v>
      </c>
      <c r="AA9" s="5">
        <v>55.1</v>
      </c>
      <c r="AB9" s="5">
        <v>190.4</v>
      </c>
      <c r="AC9" s="5">
        <v>9.8000000000000007</v>
      </c>
      <c r="AD9" s="5" t="s">
        <v>147</v>
      </c>
      <c r="AE9" s="5">
        <v>3</v>
      </c>
      <c r="AF9" s="5">
        <v>3</v>
      </c>
      <c r="AG9" s="5">
        <v>2</v>
      </c>
      <c r="AH9" s="5" t="s">
        <v>135</v>
      </c>
      <c r="AI9" s="5">
        <v>0</v>
      </c>
      <c r="AJ9" s="5">
        <v>0</v>
      </c>
      <c r="AK9" s="5" t="s">
        <v>63</v>
      </c>
      <c r="AL9" s="5" t="s">
        <v>63</v>
      </c>
      <c r="AM9" s="5">
        <v>1</v>
      </c>
      <c r="AN9" s="5" t="s">
        <v>148</v>
      </c>
      <c r="AO9" s="5" t="s">
        <v>149</v>
      </c>
      <c r="AP9" s="5" t="s">
        <v>150</v>
      </c>
      <c r="AQ9" s="5" t="s">
        <v>151</v>
      </c>
    </row>
    <row r="10" spans="1:43" x14ac:dyDescent="0.35">
      <c r="A10" s="4">
        <v>247596</v>
      </c>
      <c r="B10" s="4" t="s">
        <v>152</v>
      </c>
      <c r="C10" s="4">
        <v>9</v>
      </c>
      <c r="D10" s="4">
        <v>196</v>
      </c>
      <c r="E10" s="4">
        <v>116</v>
      </c>
      <c r="F10" s="4">
        <v>164</v>
      </c>
      <c r="G10" s="4">
        <v>0</v>
      </c>
      <c r="H10" s="4">
        <v>70</v>
      </c>
      <c r="I10" s="4">
        <v>760</v>
      </c>
      <c r="J10" s="4">
        <v>1205</v>
      </c>
      <c r="K10" s="4">
        <v>1518</v>
      </c>
      <c r="L10" s="4">
        <v>744</v>
      </c>
      <c r="M10" s="4" t="s">
        <v>63</v>
      </c>
      <c r="N10" s="4" t="s">
        <v>153</v>
      </c>
      <c r="O10" s="4" t="s">
        <v>154</v>
      </c>
      <c r="P10" s="4" t="s">
        <v>155</v>
      </c>
      <c r="Q10" s="4" t="s">
        <v>73</v>
      </c>
      <c r="R10" s="4" t="s">
        <v>156</v>
      </c>
      <c r="S10" s="4">
        <v>146</v>
      </c>
      <c r="T10" s="4">
        <v>1.6</v>
      </c>
      <c r="U10" s="4">
        <v>38.1</v>
      </c>
      <c r="V10" s="4">
        <v>836</v>
      </c>
      <c r="W10" s="4">
        <v>7.1</v>
      </c>
      <c r="X10" s="4">
        <f t="shared" si="0"/>
        <v>25.56</v>
      </c>
      <c r="Y10" s="4">
        <v>4.5</v>
      </c>
      <c r="Z10" s="4">
        <v>5090.7</v>
      </c>
      <c r="AA10" s="4">
        <v>54.6</v>
      </c>
      <c r="AB10" s="4">
        <v>312.60000000000002</v>
      </c>
      <c r="AC10" s="4">
        <v>9.3000000000000007</v>
      </c>
      <c r="AD10" s="4" t="s">
        <v>157</v>
      </c>
      <c r="AE10" s="4">
        <v>5</v>
      </c>
      <c r="AF10" s="4">
        <v>5</v>
      </c>
      <c r="AG10" s="4">
        <v>1</v>
      </c>
      <c r="AH10" s="4" t="s">
        <v>158</v>
      </c>
      <c r="AI10" s="4">
        <v>1</v>
      </c>
      <c r="AJ10" s="4">
        <v>0</v>
      </c>
      <c r="AK10" s="4" t="s">
        <v>63</v>
      </c>
      <c r="AL10" s="4" t="s">
        <v>158</v>
      </c>
      <c r="AM10" s="4">
        <v>2</v>
      </c>
      <c r="AN10" s="4" t="s">
        <v>159</v>
      </c>
      <c r="AO10" s="4" t="s">
        <v>160</v>
      </c>
      <c r="AP10" s="4" t="s">
        <v>161</v>
      </c>
      <c r="AQ10" s="4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Información del partido</vt:lpstr>
      <vt:lpstr>Datos de jugadores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Mariano Galeano</cp:lastModifiedBy>
  <dcterms:created xsi:type="dcterms:W3CDTF">2026-06-01T09:05:05Z</dcterms:created>
  <dcterms:modified xsi:type="dcterms:W3CDTF">2026-06-01T09:14:14Z</dcterms:modified>
</cp:coreProperties>
</file>